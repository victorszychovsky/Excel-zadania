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ktor\Documents\"/>
    </mc:Choice>
  </mc:AlternateContent>
  <xr:revisionPtr revIDLastSave="0" documentId="13_ncr:1_{FD08160A-F5C6-42BD-A2EB-96E21D1B2403}" xr6:coauthVersionLast="47" xr6:coauthVersionMax="47" xr10:uidLastSave="{00000000-0000-0000-0000-000000000000}"/>
  <bookViews>
    <workbookView xWindow="-120" yWindow="-120" windowWidth="29040" windowHeight="15720" xr2:uid="{D7378EEA-4F4D-4FD5-A1C8-B55A579C09EA}"/>
  </bookViews>
  <sheets>
    <sheet name="Zadanie 1" sheetId="1" r:id="rId1"/>
    <sheet name="Zadanie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K8" i="1" s="1"/>
  <c r="J9" i="1"/>
  <c r="J10" i="1"/>
  <c r="J11" i="1"/>
  <c r="J12" i="1"/>
  <c r="J13" i="1"/>
  <c r="H4" i="1"/>
  <c r="H5" i="1"/>
  <c r="H6" i="1"/>
  <c r="H7" i="1"/>
  <c r="H8" i="1"/>
  <c r="H9" i="1"/>
  <c r="H10" i="1"/>
  <c r="H11" i="1"/>
  <c r="H12" i="1"/>
  <c r="H13" i="1"/>
  <c r="G4" i="1"/>
  <c r="G5" i="1"/>
  <c r="G6" i="1"/>
  <c r="G7" i="1"/>
  <c r="G8" i="1"/>
  <c r="G9" i="1"/>
  <c r="G10" i="1"/>
  <c r="G11" i="1"/>
  <c r="G12" i="1"/>
  <c r="G13" i="1"/>
  <c r="K4" i="1"/>
  <c r="K5" i="1"/>
  <c r="K6" i="1"/>
  <c r="K7" i="1"/>
  <c r="I4" i="2"/>
  <c r="I2" i="2"/>
  <c r="I3" i="2"/>
  <c r="I1" i="2"/>
  <c r="E2" i="2"/>
  <c r="E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D2" i="2"/>
  <c r="K3" i="1"/>
  <c r="K9" i="1"/>
  <c r="K10" i="1"/>
  <c r="K11" i="1"/>
  <c r="K12" i="1"/>
  <c r="K13" i="1"/>
  <c r="J3" i="1"/>
  <c r="G3" i="1"/>
  <c r="I8" i="1"/>
  <c r="I4" i="1"/>
  <c r="I3" i="1"/>
  <c r="I13" i="1"/>
  <c r="I11" i="1"/>
  <c r="I5" i="1"/>
  <c r="I12" i="1"/>
  <c r="I6" i="1"/>
  <c r="I9" i="1"/>
  <c r="I7" i="1"/>
  <c r="H3" i="1"/>
  <c r="I10" i="1"/>
</calcChain>
</file>

<file path=xl/sharedStrings.xml><?xml version="1.0" encoding="utf-8"?>
<sst xmlns="http://schemas.openxmlformats.org/spreadsheetml/2006/main" count="48" uniqueCount="48">
  <si>
    <t>Spółka</t>
  </si>
  <si>
    <t>Notowania z dnia</t>
  </si>
  <si>
    <t>Wartość</t>
  </si>
  <si>
    <t>18 list</t>
  </si>
  <si>
    <t>22 list</t>
  </si>
  <si>
    <t>30 list</t>
  </si>
  <si>
    <t>28 list</t>
  </si>
  <si>
    <t>25 list</t>
  </si>
  <si>
    <t>Tonsil</t>
  </si>
  <si>
    <t>Próchnik</t>
  </si>
  <si>
    <t>Krosno</t>
  </si>
  <si>
    <t>BSK</t>
  </si>
  <si>
    <t>BPH</t>
  </si>
  <si>
    <t>Żywiec</t>
  </si>
  <si>
    <t>KGHM</t>
  </si>
  <si>
    <t>Dębica</t>
  </si>
  <si>
    <t>Polifarb</t>
  </si>
  <si>
    <t>Kable</t>
  </si>
  <si>
    <t>Wedel</t>
  </si>
  <si>
    <t xml:space="preserve">Średnia </t>
  </si>
  <si>
    <t>Maksymalna</t>
  </si>
  <si>
    <t xml:space="preserve"> Minimalna</t>
  </si>
  <si>
    <t>ZYSK</t>
  </si>
  <si>
    <t>KOMUNIKAT</t>
  </si>
  <si>
    <t>Total</t>
  </si>
  <si>
    <t>Miesiąc</t>
  </si>
  <si>
    <t>Listopad 2019</t>
  </si>
  <si>
    <t>Grudzień 2019</t>
  </si>
  <si>
    <t>Styczeń 2020</t>
  </si>
  <si>
    <t>Luty 2020</t>
  </si>
  <si>
    <t>Marzec 2020</t>
  </si>
  <si>
    <t>Kwiecień 2020</t>
  </si>
  <si>
    <t>Maj 2020</t>
  </si>
  <si>
    <t>Czerwiec 2020</t>
  </si>
  <si>
    <t>Lipiec 2020</t>
  </si>
  <si>
    <t>Sierpień 2020</t>
  </si>
  <si>
    <t>Wrzesień 2020</t>
  </si>
  <si>
    <t>Październik 2020</t>
  </si>
  <si>
    <t>EURO otrzymane</t>
  </si>
  <si>
    <t xml:space="preserve">Total PLN if received First Month: </t>
  </si>
  <si>
    <t>łącznie otrzymane pln miesięcznie przez rok</t>
  </si>
  <si>
    <t>każdy student otrzymywał</t>
  </si>
  <si>
    <t>Najlepsza opcja</t>
  </si>
  <si>
    <t>Konkluzja:</t>
  </si>
  <si>
    <t>Ponieważ suma otrzymanych w ciągu 12 miesięcy (195 000 zł) zł jest większa niż ryczałt otrzymany w pierwszym miesiącu (192 000 zł), lepszą opcją są Płatności Miesięczne.</t>
  </si>
  <si>
    <t>Kurs euro</t>
  </si>
  <si>
    <t>PLN otrzymane na studenta</t>
  </si>
  <si>
    <t>łącznie otrzymane pln miesięcznie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</si>
</sst>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\z\ł"/>
    <numFmt numFmtId="172" formatCode="General\ \z\ł"/>
    <numFmt numFmtId="173" formatCode="General\ \€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Abadi"/>
      <family val="2"/>
    </font>
    <font>
      <b/>
      <sz val="18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164" fontId="0" fillId="0" borderId="1" xfId="0" applyNumberForma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9" fontId="0" fillId="0" borderId="1" xfId="0" applyNumberFormat="1" applyBorder="1"/>
    <xf numFmtId="0" fontId="0" fillId="2" borderId="1" xfId="0" applyFill="1" applyBorder="1"/>
    <xf numFmtId="0" fontId="0" fillId="2" borderId="0" xfId="0" applyFill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7" fontId="0" fillId="0" borderId="1" xfId="0" applyNumberFormat="1" applyBorder="1"/>
    <xf numFmtId="0" fontId="0" fillId="0" borderId="0" xfId="0" applyAlignment="1">
      <alignment horizontal="left" vertical="top"/>
    </xf>
    <xf numFmtId="172" fontId="0" fillId="0" borderId="1" xfId="0" applyNumberFormat="1" applyBorder="1"/>
    <xf numFmtId="172" fontId="0" fillId="0" borderId="1" xfId="0" applyNumberFormat="1" applyFill="1" applyBorder="1"/>
    <xf numFmtId="173" fontId="0" fillId="0" borderId="1" xfId="0" applyNumberFormat="1" applyBorder="1"/>
    <xf numFmtId="173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Notowania</a:t>
            </a:r>
            <a:r>
              <a:rPr lang="pl-PL" baseline="0"/>
              <a:t> spółek z okresu 18-30 listpoada 2024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'Zadanie 1'!$A$3</c:f>
              <c:strCache>
                <c:ptCount val="1"/>
                <c:pt idx="0">
                  <c:v>BSK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'Zadanie 1'!$B$2:$F$2</c:f>
              <c:strCache>
                <c:ptCount val="5"/>
                <c:pt idx="0">
                  <c:v>18 list</c:v>
                </c:pt>
                <c:pt idx="1">
                  <c:v>22 list</c:v>
                </c:pt>
                <c:pt idx="2">
                  <c:v>25 list</c:v>
                </c:pt>
                <c:pt idx="3">
                  <c:v>28 list</c:v>
                </c:pt>
                <c:pt idx="4">
                  <c:v>30 list</c:v>
                </c:pt>
              </c:strCache>
            </c:strRef>
          </c:cat>
          <c:val>
            <c:numRef>
              <c:f>'Zadanie 1'!$B$3:$F$3</c:f>
              <c:numCache>
                <c:formatCode>0\ \z\ł</c:formatCode>
                <c:ptCount val="5"/>
                <c:pt idx="0">
                  <c:v>12100</c:v>
                </c:pt>
                <c:pt idx="1">
                  <c:v>12300</c:v>
                </c:pt>
                <c:pt idx="2">
                  <c:v>12000</c:v>
                </c:pt>
                <c:pt idx="3">
                  <c:v>12300</c:v>
                </c:pt>
                <c:pt idx="4">
                  <c:v>12300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CD-4B6A-97F7-2879DCFB1656}"/>
            </c:ext>
          </c:extLst>
        </c:ser>
        <c:ser>
          <c:idx val="1"/>
          <c:order val="1"/>
          <c:tx>
            <c:strRef>
              <c:f>'Zadanie 1'!$A$4</c:f>
              <c:strCache>
                <c:ptCount val="1"/>
                <c:pt idx="0">
                  <c:v>Krosno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'Zadanie 1'!$B$2:$F$2</c:f>
              <c:strCache>
                <c:ptCount val="5"/>
                <c:pt idx="0">
                  <c:v>18 list</c:v>
                </c:pt>
                <c:pt idx="1">
                  <c:v>22 list</c:v>
                </c:pt>
                <c:pt idx="2">
                  <c:v>25 list</c:v>
                </c:pt>
                <c:pt idx="3">
                  <c:v>28 list</c:v>
                </c:pt>
                <c:pt idx="4">
                  <c:v>30 list</c:v>
                </c:pt>
              </c:strCache>
            </c:strRef>
          </c:cat>
          <c:val>
            <c:numRef>
              <c:f>'Zadanie 1'!$B$4:$F$4</c:f>
              <c:numCache>
                <c:formatCode>0\ \z\ł</c:formatCode>
                <c:ptCount val="5"/>
                <c:pt idx="0">
                  <c:v>13500</c:v>
                </c:pt>
                <c:pt idx="1">
                  <c:v>13700</c:v>
                </c:pt>
                <c:pt idx="2">
                  <c:v>13900</c:v>
                </c:pt>
                <c:pt idx="3">
                  <c:v>14000</c:v>
                </c:pt>
                <c:pt idx="4">
                  <c:v>13800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CD-4B6A-97F7-2879DCFB1656}"/>
            </c:ext>
          </c:extLst>
        </c:ser>
        <c:ser>
          <c:idx val="2"/>
          <c:order val="2"/>
          <c:tx>
            <c:strRef>
              <c:f>'Zadanie 1'!$A$5</c:f>
              <c:strCache>
                <c:ptCount val="1"/>
                <c:pt idx="0">
                  <c:v>KGHM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'Zadanie 1'!$B$2:$F$2</c:f>
              <c:strCache>
                <c:ptCount val="5"/>
                <c:pt idx="0">
                  <c:v>18 list</c:v>
                </c:pt>
                <c:pt idx="1">
                  <c:v>22 list</c:v>
                </c:pt>
                <c:pt idx="2">
                  <c:v>25 list</c:v>
                </c:pt>
                <c:pt idx="3">
                  <c:v>28 list</c:v>
                </c:pt>
                <c:pt idx="4">
                  <c:v>30 list</c:v>
                </c:pt>
              </c:strCache>
            </c:strRef>
          </c:cat>
          <c:val>
            <c:numRef>
              <c:f>'Zadanie 1'!$B$5:$F$5</c:f>
              <c:numCache>
                <c:formatCode>0\ \z\ł</c:formatCode>
                <c:ptCount val="5"/>
                <c:pt idx="0">
                  <c:v>21000</c:v>
                </c:pt>
                <c:pt idx="1">
                  <c:v>19500</c:v>
                </c:pt>
                <c:pt idx="2">
                  <c:v>19200</c:v>
                </c:pt>
                <c:pt idx="3">
                  <c:v>20800</c:v>
                </c:pt>
                <c:pt idx="4">
                  <c:v>21250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CD-4B6A-97F7-2879DCFB1656}"/>
            </c:ext>
          </c:extLst>
        </c:ser>
        <c:ser>
          <c:idx val="3"/>
          <c:order val="3"/>
          <c:tx>
            <c:strRef>
              <c:f>'Zadanie 1'!$A$6</c:f>
              <c:strCache>
                <c:ptCount val="1"/>
                <c:pt idx="0">
                  <c:v>Polifarb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'Zadanie 1'!$B$2:$F$2</c:f>
              <c:strCache>
                <c:ptCount val="5"/>
                <c:pt idx="0">
                  <c:v>18 list</c:v>
                </c:pt>
                <c:pt idx="1">
                  <c:v>22 list</c:v>
                </c:pt>
                <c:pt idx="2">
                  <c:v>25 list</c:v>
                </c:pt>
                <c:pt idx="3">
                  <c:v>28 list</c:v>
                </c:pt>
                <c:pt idx="4">
                  <c:v>30 list</c:v>
                </c:pt>
              </c:strCache>
            </c:strRef>
          </c:cat>
          <c:val>
            <c:numRef>
              <c:f>'Zadanie 1'!$B$6:$F$6</c:f>
              <c:numCache>
                <c:formatCode>0\ \z\ł</c:formatCode>
                <c:ptCount val="5"/>
                <c:pt idx="0">
                  <c:v>21400</c:v>
                </c:pt>
                <c:pt idx="1">
                  <c:v>22000</c:v>
                </c:pt>
                <c:pt idx="2">
                  <c:v>22200</c:v>
                </c:pt>
                <c:pt idx="3">
                  <c:v>23000</c:v>
                </c:pt>
                <c:pt idx="4">
                  <c:v>22200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CD-4B6A-97F7-2879DCFB1656}"/>
            </c:ext>
          </c:extLst>
        </c:ser>
        <c:ser>
          <c:idx val="4"/>
          <c:order val="4"/>
          <c:tx>
            <c:strRef>
              <c:f>'Zadanie 1'!$A$7</c:f>
              <c:strCache>
                <c:ptCount val="1"/>
                <c:pt idx="0">
                  <c:v>Wedel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'Zadanie 1'!$B$2:$F$2</c:f>
              <c:strCache>
                <c:ptCount val="5"/>
                <c:pt idx="0">
                  <c:v>18 list</c:v>
                </c:pt>
                <c:pt idx="1">
                  <c:v>22 list</c:v>
                </c:pt>
                <c:pt idx="2">
                  <c:v>25 list</c:v>
                </c:pt>
                <c:pt idx="3">
                  <c:v>28 list</c:v>
                </c:pt>
                <c:pt idx="4">
                  <c:v>30 list</c:v>
                </c:pt>
              </c:strCache>
            </c:strRef>
          </c:cat>
          <c:val>
            <c:numRef>
              <c:f>'Zadanie 1'!$B$7:$F$7</c:f>
              <c:numCache>
                <c:formatCode>0\ \z\ł</c:formatCode>
                <c:ptCount val="5"/>
                <c:pt idx="0">
                  <c:v>25000</c:v>
                </c:pt>
                <c:pt idx="1">
                  <c:v>27000</c:v>
                </c:pt>
                <c:pt idx="2">
                  <c:v>30000</c:v>
                </c:pt>
                <c:pt idx="3">
                  <c:v>30000</c:v>
                </c:pt>
                <c:pt idx="4">
                  <c:v>36000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CD-4B6A-97F7-2879DCFB1656}"/>
            </c:ext>
          </c:extLst>
        </c:ser>
        <c:ser>
          <c:idx val="5"/>
          <c:order val="5"/>
          <c:tx>
            <c:strRef>
              <c:f>'Zadanie 1'!$A$8</c:f>
              <c:strCache>
                <c:ptCount val="1"/>
                <c:pt idx="0">
                  <c:v>Próchnik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'Zadanie 1'!$B$2:$F$2</c:f>
              <c:strCache>
                <c:ptCount val="5"/>
                <c:pt idx="0">
                  <c:v>18 list</c:v>
                </c:pt>
                <c:pt idx="1">
                  <c:v>22 list</c:v>
                </c:pt>
                <c:pt idx="2">
                  <c:v>25 list</c:v>
                </c:pt>
                <c:pt idx="3">
                  <c:v>28 list</c:v>
                </c:pt>
                <c:pt idx="4">
                  <c:v>30 list</c:v>
                </c:pt>
              </c:strCache>
            </c:strRef>
          </c:cat>
          <c:val>
            <c:numRef>
              <c:f>'Zadanie 1'!$B$8:$F$8</c:f>
              <c:numCache>
                <c:formatCode>0\ \z\ł</c:formatCode>
                <c:ptCount val="5"/>
                <c:pt idx="0">
                  <c:v>41000</c:v>
                </c:pt>
                <c:pt idx="1">
                  <c:v>39000</c:v>
                </c:pt>
                <c:pt idx="2">
                  <c:v>38000</c:v>
                </c:pt>
                <c:pt idx="3">
                  <c:v>37000</c:v>
                </c:pt>
                <c:pt idx="4">
                  <c:v>36000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CD-4B6A-97F7-2879DCFB1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256912"/>
        <c:axId val="842256192"/>
      </c:lineChart>
      <c:catAx>
        <c:axId val="842256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256192"/>
        <c:crosses val="autoZero"/>
        <c:auto val="1"/>
        <c:lblAlgn val="ctr"/>
        <c:lblOffset val="100"/>
        <c:noMultiLvlLbl val="0"/>
      </c:catAx>
      <c:valAx>
        <c:axId val="842256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\ \z\ł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25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1</xdr:row>
      <xdr:rowOff>300036</xdr:rowOff>
    </xdr:from>
    <xdr:to>
      <xdr:col>19</xdr:col>
      <xdr:colOff>309562</xdr:colOff>
      <xdr:row>13</xdr:row>
      <xdr:rowOff>76199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36BE91-0DDF-4249-29E8-51A7081FA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D859-EFF5-42BF-B12B-6E7E301470D2}">
  <dimension ref="A1:K23"/>
  <sheetViews>
    <sheetView tabSelected="1" workbookViewId="0">
      <selection activeCell="R26" sqref="R26"/>
    </sheetView>
  </sheetViews>
  <sheetFormatPr defaultRowHeight="15" x14ac:dyDescent="0.25"/>
  <cols>
    <col min="1" max="1" width="11.5703125" customWidth="1"/>
    <col min="2" max="2" width="9.85546875" customWidth="1"/>
    <col min="3" max="4" width="10.140625" customWidth="1"/>
    <col min="5" max="6" width="10.28515625" customWidth="1"/>
    <col min="7" max="7" width="11.85546875" customWidth="1"/>
    <col min="8" max="8" width="13.85546875" customWidth="1"/>
    <col min="9" max="9" width="12.7109375" customWidth="1"/>
    <col min="10" max="10" width="11.5703125" customWidth="1"/>
    <col min="11" max="11" width="16.140625" customWidth="1"/>
    <col min="19" max="19" width="8.85546875" bestFit="1" customWidth="1"/>
    <col min="20" max="20" width="8.5703125" bestFit="1" customWidth="1"/>
    <col min="21" max="21" width="8.85546875" bestFit="1" customWidth="1"/>
    <col min="22" max="22" width="10.7109375" bestFit="1" customWidth="1"/>
    <col min="23" max="23" width="8.85546875" bestFit="1" customWidth="1"/>
    <col min="24" max="24" width="5" bestFit="1" customWidth="1"/>
    <col min="25" max="25" width="8.85546875" bestFit="1" customWidth="1"/>
    <col min="26" max="26" width="9" bestFit="1" customWidth="1"/>
    <col min="27" max="27" width="7.7109375" bestFit="1" customWidth="1"/>
    <col min="28" max="28" width="12.7109375" bestFit="1" customWidth="1"/>
    <col min="29" max="29" width="10.5703125" bestFit="1" customWidth="1"/>
  </cols>
  <sheetData>
    <row r="1" spans="1:11" ht="19.5" customHeight="1" x14ac:dyDescent="0.4">
      <c r="A1" s="2" t="s">
        <v>0</v>
      </c>
      <c r="B1" s="10" t="s">
        <v>1</v>
      </c>
      <c r="C1" s="11"/>
      <c r="D1" s="11"/>
      <c r="E1" s="11"/>
      <c r="F1" s="11"/>
      <c r="G1" s="12" t="s">
        <v>2</v>
      </c>
      <c r="H1" s="11"/>
      <c r="I1" s="11"/>
      <c r="J1" s="3"/>
      <c r="K1" s="3"/>
    </row>
    <row r="2" spans="1:11" ht="27" customHeight="1" x14ac:dyDescent="0.25">
      <c r="A2" s="1"/>
      <c r="B2" s="1" t="s">
        <v>3</v>
      </c>
      <c r="C2" s="1" t="s">
        <v>4</v>
      </c>
      <c r="D2" s="1" t="s">
        <v>7</v>
      </c>
      <c r="E2" s="1" t="s">
        <v>6</v>
      </c>
      <c r="F2" s="1" t="s">
        <v>5</v>
      </c>
      <c r="G2" s="1" t="s">
        <v>19</v>
      </c>
      <c r="H2" s="1" t="s">
        <v>20</v>
      </c>
      <c r="I2" s="1" t="s">
        <v>21</v>
      </c>
      <c r="J2" s="6" t="s">
        <v>22</v>
      </c>
      <c r="K2" s="3" t="s">
        <v>23</v>
      </c>
    </row>
    <row r="3" spans="1:11" ht="20.25" customHeight="1" x14ac:dyDescent="0.25">
      <c r="A3" s="1" t="s">
        <v>11</v>
      </c>
      <c r="B3" s="4">
        <v>12100</v>
      </c>
      <c r="C3" s="4">
        <v>12300</v>
      </c>
      <c r="D3" s="4">
        <v>12000</v>
      </c>
      <c r="E3" s="4">
        <v>12300</v>
      </c>
      <c r="F3" s="4">
        <v>12300</v>
      </c>
      <c r="G3" s="5">
        <f t="shared" ref="G3:G13" si="0">AVERAGE(B3:F3)</f>
        <v>12200</v>
      </c>
      <c r="H3" s="4">
        <f t="shared" ref="H3:H13" si="1">MAX(B3:F3)</f>
        <v>12300</v>
      </c>
      <c r="I3" s="4">
        <f t="shared" ref="I3:I13" si="2">MIN(B3:F3)</f>
        <v>12000</v>
      </c>
      <c r="J3" s="7">
        <f>((H3-I3)/I3)</f>
        <v>2.5000000000000001E-2</v>
      </c>
      <c r="K3" s="8" t="str">
        <f>IF(J3&gt;15%, "Inwestować", "Nie inwestować")</f>
        <v>Nie inwestować</v>
      </c>
    </row>
    <row r="4" spans="1:11" ht="19.5" customHeight="1" x14ac:dyDescent="0.25">
      <c r="A4" s="1" t="s">
        <v>10</v>
      </c>
      <c r="B4" s="4">
        <v>13500</v>
      </c>
      <c r="C4" s="4">
        <v>13700</v>
      </c>
      <c r="D4" s="4">
        <v>13900</v>
      </c>
      <c r="E4" s="4">
        <v>14000</v>
      </c>
      <c r="F4" s="4">
        <v>13800</v>
      </c>
      <c r="G4" s="5">
        <f t="shared" si="0"/>
        <v>13780</v>
      </c>
      <c r="H4" s="4">
        <f t="shared" si="1"/>
        <v>14000</v>
      </c>
      <c r="I4" s="4">
        <f t="shared" si="2"/>
        <v>13500</v>
      </c>
      <c r="J4" s="7">
        <f t="shared" ref="J4:J13" si="3">((H4-I4)/I4)</f>
        <v>3.7037037037037035E-2</v>
      </c>
      <c r="K4" s="8" t="str">
        <f t="shared" ref="K4:K13" si="4">IF(J4&gt;15%, "Inwestować", "Nie inwestować")</f>
        <v>Nie inwestować</v>
      </c>
    </row>
    <row r="5" spans="1:11" ht="21.75" customHeight="1" x14ac:dyDescent="0.25">
      <c r="A5" s="1" t="s">
        <v>14</v>
      </c>
      <c r="B5" s="4">
        <v>21000</v>
      </c>
      <c r="C5" s="4">
        <v>19500</v>
      </c>
      <c r="D5" s="4">
        <v>19200</v>
      </c>
      <c r="E5" s="4">
        <v>20800</v>
      </c>
      <c r="F5" s="4">
        <v>21250</v>
      </c>
      <c r="G5" s="5">
        <f t="shared" si="0"/>
        <v>20350</v>
      </c>
      <c r="H5" s="4">
        <f t="shared" si="1"/>
        <v>21250</v>
      </c>
      <c r="I5" s="4">
        <f t="shared" si="2"/>
        <v>19200</v>
      </c>
      <c r="J5" s="7">
        <f t="shared" si="3"/>
        <v>0.10677083333333333</v>
      </c>
      <c r="K5" s="8" t="str">
        <f t="shared" si="4"/>
        <v>Nie inwestować</v>
      </c>
    </row>
    <row r="6" spans="1:11" ht="20.25" customHeight="1" x14ac:dyDescent="0.25">
      <c r="A6" s="1" t="s">
        <v>16</v>
      </c>
      <c r="B6" s="4">
        <v>21400</v>
      </c>
      <c r="C6" s="4">
        <v>22000</v>
      </c>
      <c r="D6" s="4">
        <v>22200</v>
      </c>
      <c r="E6" s="4">
        <v>23000</v>
      </c>
      <c r="F6" s="4">
        <v>22200</v>
      </c>
      <c r="G6" s="5">
        <f t="shared" si="0"/>
        <v>22160</v>
      </c>
      <c r="H6" s="4">
        <f t="shared" si="1"/>
        <v>23000</v>
      </c>
      <c r="I6" s="4">
        <f t="shared" si="2"/>
        <v>21400</v>
      </c>
      <c r="J6" s="7">
        <f t="shared" si="3"/>
        <v>7.476635514018691E-2</v>
      </c>
      <c r="K6" s="8" t="str">
        <f t="shared" si="4"/>
        <v>Nie inwestować</v>
      </c>
    </row>
    <row r="7" spans="1:11" ht="20.25" customHeight="1" x14ac:dyDescent="0.25">
      <c r="A7" s="1" t="s">
        <v>18</v>
      </c>
      <c r="B7" s="4">
        <v>25000</v>
      </c>
      <c r="C7" s="4">
        <v>27000</v>
      </c>
      <c r="D7" s="4">
        <v>30000</v>
      </c>
      <c r="E7" s="4">
        <v>30000</v>
      </c>
      <c r="F7" s="4">
        <v>36000</v>
      </c>
      <c r="G7" s="5">
        <f t="shared" si="0"/>
        <v>29600</v>
      </c>
      <c r="H7" s="4">
        <f t="shared" si="1"/>
        <v>36000</v>
      </c>
      <c r="I7" s="4">
        <f t="shared" si="2"/>
        <v>25000</v>
      </c>
      <c r="J7" s="7">
        <f t="shared" si="3"/>
        <v>0.44</v>
      </c>
      <c r="K7" s="8" t="str">
        <f t="shared" si="4"/>
        <v>Inwestować</v>
      </c>
    </row>
    <row r="8" spans="1:11" ht="22.5" customHeight="1" x14ac:dyDescent="0.25">
      <c r="A8" s="1" t="s">
        <v>9</v>
      </c>
      <c r="B8" s="4">
        <v>41000</v>
      </c>
      <c r="C8" s="4">
        <v>39000</v>
      </c>
      <c r="D8" s="4">
        <v>38000</v>
      </c>
      <c r="E8" s="4">
        <v>37000</v>
      </c>
      <c r="F8" s="4">
        <v>36000</v>
      </c>
      <c r="G8" s="5">
        <f t="shared" si="0"/>
        <v>38200</v>
      </c>
      <c r="H8" s="4">
        <f t="shared" si="1"/>
        <v>41000</v>
      </c>
      <c r="I8" s="4">
        <f t="shared" si="2"/>
        <v>36000</v>
      </c>
      <c r="J8" s="7">
        <f t="shared" si="3"/>
        <v>0.1388888888888889</v>
      </c>
      <c r="K8" s="8" t="str">
        <f t="shared" si="4"/>
        <v>Nie inwestować</v>
      </c>
    </row>
    <row r="9" spans="1:11" ht="21.75" customHeight="1" x14ac:dyDescent="0.25">
      <c r="A9" s="1" t="s">
        <v>17</v>
      </c>
      <c r="B9" s="4">
        <v>55800</v>
      </c>
      <c r="C9" s="4">
        <v>55900</v>
      </c>
      <c r="D9" s="4">
        <v>55700</v>
      </c>
      <c r="E9" s="4">
        <v>55900</v>
      </c>
      <c r="F9" s="4">
        <v>56000</v>
      </c>
      <c r="G9" s="5">
        <f t="shared" si="0"/>
        <v>55860</v>
      </c>
      <c r="H9" s="4">
        <f t="shared" si="1"/>
        <v>56000</v>
      </c>
      <c r="I9" s="4">
        <f t="shared" si="2"/>
        <v>55700</v>
      </c>
      <c r="J9" s="7">
        <f t="shared" si="3"/>
        <v>5.3859964093357273E-3</v>
      </c>
      <c r="K9" s="8" t="str">
        <f t="shared" si="4"/>
        <v>Nie inwestować</v>
      </c>
    </row>
    <row r="10" spans="1:11" ht="25.5" customHeight="1" x14ac:dyDescent="0.25">
      <c r="A10" s="1" t="s">
        <v>8</v>
      </c>
      <c r="B10" s="4">
        <v>55000</v>
      </c>
      <c r="C10" s="4">
        <v>55000</v>
      </c>
      <c r="D10" s="4">
        <v>62000</v>
      </c>
      <c r="E10" s="4">
        <v>63000</v>
      </c>
      <c r="F10" s="4">
        <v>65000</v>
      </c>
      <c r="G10" s="5">
        <f t="shared" si="0"/>
        <v>60000</v>
      </c>
      <c r="H10" s="4">
        <f t="shared" si="1"/>
        <v>65000</v>
      </c>
      <c r="I10" s="4">
        <f t="shared" si="2"/>
        <v>55000</v>
      </c>
      <c r="J10" s="7">
        <f t="shared" si="3"/>
        <v>0.18181818181818182</v>
      </c>
      <c r="K10" s="8" t="str">
        <f t="shared" si="4"/>
        <v>Inwestować</v>
      </c>
    </row>
    <row r="11" spans="1:11" ht="24" customHeight="1" x14ac:dyDescent="0.25">
      <c r="A11" s="1" t="s">
        <v>13</v>
      </c>
      <c r="B11" s="4">
        <v>67314</v>
      </c>
      <c r="C11" s="4">
        <v>69000</v>
      </c>
      <c r="D11" s="4">
        <v>72000</v>
      </c>
      <c r="E11" s="4">
        <v>68450</v>
      </c>
      <c r="F11" s="4">
        <v>70001</v>
      </c>
      <c r="G11" s="5">
        <f t="shared" si="0"/>
        <v>69353</v>
      </c>
      <c r="H11" s="4">
        <f t="shared" si="1"/>
        <v>72000</v>
      </c>
      <c r="I11" s="4">
        <f t="shared" si="2"/>
        <v>67314</v>
      </c>
      <c r="J11" s="7">
        <f t="shared" si="3"/>
        <v>6.9614047597825121E-2</v>
      </c>
      <c r="K11" s="8" t="str">
        <f t="shared" si="4"/>
        <v>Nie inwestować</v>
      </c>
    </row>
    <row r="12" spans="1:11" ht="22.5" customHeight="1" x14ac:dyDescent="0.25">
      <c r="A12" s="1" t="s">
        <v>15</v>
      </c>
      <c r="B12" s="4">
        <v>64300</v>
      </c>
      <c r="C12" s="4">
        <v>97000</v>
      </c>
      <c r="D12" s="4">
        <v>73000</v>
      </c>
      <c r="E12" s="4">
        <v>76000</v>
      </c>
      <c r="F12" s="4">
        <v>70000</v>
      </c>
      <c r="G12" s="5">
        <f t="shared" si="0"/>
        <v>76060</v>
      </c>
      <c r="H12" s="4">
        <f t="shared" si="1"/>
        <v>97000</v>
      </c>
      <c r="I12" s="4">
        <f t="shared" si="2"/>
        <v>64300</v>
      </c>
      <c r="J12" s="7">
        <f t="shared" si="3"/>
        <v>0.50855365474339032</v>
      </c>
      <c r="K12" s="8" t="str">
        <f t="shared" si="4"/>
        <v>Inwestować</v>
      </c>
    </row>
    <row r="13" spans="1:11" ht="21.75" customHeight="1" x14ac:dyDescent="0.25">
      <c r="A13" s="1" t="s">
        <v>12</v>
      </c>
      <c r="B13" s="4">
        <v>210000</v>
      </c>
      <c r="C13" s="4">
        <v>199000</v>
      </c>
      <c r="D13" s="4">
        <v>192000</v>
      </c>
      <c r="E13" s="4">
        <v>189000</v>
      </c>
      <c r="F13" s="4">
        <v>188300</v>
      </c>
      <c r="G13" s="5">
        <f t="shared" si="0"/>
        <v>195660</v>
      </c>
      <c r="H13" s="4">
        <f t="shared" si="1"/>
        <v>210000</v>
      </c>
      <c r="I13" s="4">
        <f t="shared" si="2"/>
        <v>188300</v>
      </c>
      <c r="J13" s="7">
        <f t="shared" si="3"/>
        <v>0.11524163568773234</v>
      </c>
      <c r="K13" s="8" t="str">
        <f t="shared" si="4"/>
        <v>Nie inwestować</v>
      </c>
    </row>
    <row r="14" spans="1:11" x14ac:dyDescent="0.25">
      <c r="K14" s="9"/>
    </row>
    <row r="15" spans="1:11" ht="5.25" customHeight="1" x14ac:dyDescent="0.25"/>
    <row r="16" spans="1:11" hidden="1" x14ac:dyDescent="0.25"/>
    <row r="17" hidden="1" x14ac:dyDescent="0.25"/>
    <row r="18" hidden="1" x14ac:dyDescent="0.25"/>
    <row r="19" hidden="1" x14ac:dyDescent="0.25"/>
    <row r="20" ht="13.5" customHeight="1" x14ac:dyDescent="0.25"/>
    <row r="21" ht="13.5" customHeight="1" x14ac:dyDescent="0.25"/>
    <row r="22" ht="12" customHeight="1" x14ac:dyDescent="0.25"/>
    <row r="23" ht="16.5" customHeight="1" x14ac:dyDescent="0.25"/>
  </sheetData>
  <sortState xmlns:xlrd2="http://schemas.microsoft.com/office/spreadsheetml/2017/richdata2" ref="A3:I13">
    <sortCondition ref="G3:G13"/>
  </sortState>
  <mergeCells count="2">
    <mergeCell ref="B1:F1"/>
    <mergeCell ref="G1:I1"/>
  </mergeCells>
  <conditionalFormatting sqref="K2:K13">
    <cfRule type="containsText" dxfId="2" priority="1" operator="containsText" text="Nie inwestować">
      <formula>NOT(ISERROR(SEARCH("Nie inwestować",K2)))</formula>
    </cfRule>
    <cfRule type="containsText" dxfId="1" priority="2" operator="containsText" text="Inwestować">
      <formula>NOT(ISERROR(SEARCH("Inwestować",K2)))</formula>
    </cfRule>
  </conditionalFormatting>
  <conditionalFormatting sqref="K3:K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{2EB742E8-1FA0-4C26-89A7-10694E1B2FD7}</x14:id>
        </ext>
      </extLst>
    </cfRule>
    <cfRule type="colorScale" priority="5">
      <colorScale>
        <cfvo type="formula" val="&quot;Nie Inwestować&quot;"/>
        <cfvo type="formula" val="&quot;Inwestować&quot;"/>
        <color rgb="FFFF0000"/>
        <color rgb="FFFFFF00"/>
      </colorScale>
    </cfRule>
    <cfRule type="cellIs" dxfId="0" priority="6" operator="equal">
      <formula>"Nie inwestować"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B742E8-1FA0-4C26-89A7-10694E1B2F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K3:K13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8E67-2A99-154E-8630-3CF949D1A95A}">
  <dimension ref="A1:K22"/>
  <sheetViews>
    <sheetView zoomScaleNormal="100" zoomScaleSheetLayoutView="100" workbookViewId="0">
      <selection activeCell="E2" sqref="E2"/>
    </sheetView>
  </sheetViews>
  <sheetFormatPr defaultRowHeight="15" x14ac:dyDescent="0.25"/>
  <cols>
    <col min="1" max="1" width="16.42578125" customWidth="1"/>
    <col min="2" max="2" width="16.28515625" customWidth="1"/>
    <col min="3" max="3" width="15.140625" customWidth="1"/>
    <col min="4" max="4" width="26.28515625" customWidth="1"/>
    <col min="5" max="5" width="31.5703125" customWidth="1"/>
    <col min="6" max="7" width="11.28515625" bestFit="1" customWidth="1"/>
    <col min="8" max="8" width="39.140625" customWidth="1"/>
    <col min="9" max="9" width="9.5703125" customWidth="1"/>
    <col min="10" max="10" width="10.140625" customWidth="1"/>
    <col min="11" max="11" width="155.140625" bestFit="1" customWidth="1"/>
  </cols>
  <sheetData>
    <row r="1" spans="1:11" x14ac:dyDescent="0.25">
      <c r="A1" s="1" t="s">
        <v>25</v>
      </c>
      <c r="B1" s="1" t="s">
        <v>38</v>
      </c>
      <c r="C1" s="1" t="s">
        <v>45</v>
      </c>
      <c r="D1" s="1" t="s">
        <v>46</v>
      </c>
      <c r="E1" s="1" t="s">
        <v>47</v>
      </c>
      <c r="H1" t="s">
        <v>40</v>
      </c>
      <c r="I1" s="19">
        <f>SUM(E2:E13)</f>
        <v>195000</v>
      </c>
      <c r="J1" s="19"/>
    </row>
    <row r="2" spans="1:11" x14ac:dyDescent="0.25">
      <c r="A2" s="1" t="s">
        <v>26</v>
      </c>
      <c r="B2" s="17">
        <v>4000</v>
      </c>
      <c r="C2" s="15">
        <v>4</v>
      </c>
      <c r="D2" s="15">
        <f>(B2/5)*4</f>
        <v>3200</v>
      </c>
      <c r="E2" s="15">
        <f>B2*C2</f>
        <v>16000</v>
      </c>
      <c r="H2" t="s">
        <v>39</v>
      </c>
      <c r="I2" s="19">
        <f>SUM(B2:B13)*C2</f>
        <v>192000</v>
      </c>
      <c r="J2" s="19"/>
    </row>
    <row r="3" spans="1:11" x14ac:dyDescent="0.25">
      <c r="A3" s="1" t="s">
        <v>27</v>
      </c>
      <c r="B3" s="17">
        <v>4000</v>
      </c>
      <c r="C3" s="15">
        <v>3.9</v>
      </c>
      <c r="D3" s="15">
        <f>(B3/5)*C3</f>
        <v>3120</v>
      </c>
      <c r="E3" s="15">
        <f t="shared" ref="E3:E13" si="0">B3*C3</f>
        <v>15600</v>
      </c>
      <c r="H3" t="s">
        <v>41</v>
      </c>
      <c r="I3" s="18">
        <f>B2/5</f>
        <v>800</v>
      </c>
    </row>
    <row r="4" spans="1:11" x14ac:dyDescent="0.25">
      <c r="A4" s="1" t="s">
        <v>28</v>
      </c>
      <c r="B4" s="17">
        <v>4000</v>
      </c>
      <c r="C4" s="15">
        <v>4.2</v>
      </c>
      <c r="D4" s="15">
        <f t="shared" ref="D4:D12" si="1">(B4/5)*C4</f>
        <v>3360</v>
      </c>
      <c r="E4" s="15">
        <f t="shared" si="0"/>
        <v>16800</v>
      </c>
      <c r="H4" t="s">
        <v>42</v>
      </c>
      <c r="I4" t="str">
        <f>IF(I2&gt;I1,"Ryczałt","Miesięczna płatność")</f>
        <v>Miesięczna płatność</v>
      </c>
    </row>
    <row r="5" spans="1:11" x14ac:dyDescent="0.25">
      <c r="A5" s="1" t="s">
        <v>29</v>
      </c>
      <c r="B5" s="17">
        <v>4000</v>
      </c>
      <c r="C5" s="15">
        <v>4.0999999999999996</v>
      </c>
      <c r="D5" s="15">
        <f t="shared" si="1"/>
        <v>3279.9999999999995</v>
      </c>
      <c r="E5" s="15">
        <f t="shared" si="0"/>
        <v>16400</v>
      </c>
    </row>
    <row r="6" spans="1:11" x14ac:dyDescent="0.25">
      <c r="A6" s="1" t="s">
        <v>30</v>
      </c>
      <c r="B6" s="17">
        <v>4000</v>
      </c>
      <c r="C6" s="15">
        <v>4</v>
      </c>
      <c r="D6" s="15">
        <f t="shared" si="1"/>
        <v>3200</v>
      </c>
      <c r="E6" s="15">
        <f t="shared" si="0"/>
        <v>16000</v>
      </c>
      <c r="J6" t="s">
        <v>43</v>
      </c>
      <c r="K6" t="s">
        <v>44</v>
      </c>
    </row>
    <row r="7" spans="1:11" x14ac:dyDescent="0.25">
      <c r="A7" s="1" t="s">
        <v>31</v>
      </c>
      <c r="B7" s="17">
        <v>4000</v>
      </c>
      <c r="C7" s="15">
        <v>3.85</v>
      </c>
      <c r="D7" s="15">
        <f t="shared" si="1"/>
        <v>3080</v>
      </c>
      <c r="E7" s="15">
        <f t="shared" si="0"/>
        <v>15400</v>
      </c>
    </row>
    <row r="8" spans="1:11" x14ac:dyDescent="0.25">
      <c r="A8" s="1" t="s">
        <v>32</v>
      </c>
      <c r="B8" s="17">
        <v>4000</v>
      </c>
      <c r="C8" s="15">
        <v>3.95</v>
      </c>
      <c r="D8" s="15">
        <f t="shared" si="1"/>
        <v>3160</v>
      </c>
      <c r="E8" s="15">
        <f t="shared" si="0"/>
        <v>15800</v>
      </c>
    </row>
    <row r="9" spans="1:11" x14ac:dyDescent="0.25">
      <c r="A9" s="1" t="s">
        <v>33</v>
      </c>
      <c r="B9" s="17">
        <v>4000</v>
      </c>
      <c r="C9" s="15">
        <v>4.05</v>
      </c>
      <c r="D9" s="15">
        <f t="shared" si="1"/>
        <v>3240</v>
      </c>
      <c r="E9" s="15">
        <f t="shared" si="0"/>
        <v>16200</v>
      </c>
    </row>
    <row r="10" spans="1:11" x14ac:dyDescent="0.25">
      <c r="A10" s="1" t="s">
        <v>34</v>
      </c>
      <c r="B10" s="17">
        <v>4000</v>
      </c>
      <c r="C10" s="15">
        <v>4.1500000000000004</v>
      </c>
      <c r="D10" s="15">
        <f t="shared" si="1"/>
        <v>3320.0000000000005</v>
      </c>
      <c r="E10" s="15">
        <f t="shared" si="0"/>
        <v>16600</v>
      </c>
    </row>
    <row r="11" spans="1:11" x14ac:dyDescent="0.25">
      <c r="A11" s="1" t="s">
        <v>35</v>
      </c>
      <c r="B11" s="17">
        <v>4000</v>
      </c>
      <c r="C11" s="15">
        <v>4.0999999999999996</v>
      </c>
      <c r="D11" s="15">
        <f t="shared" si="1"/>
        <v>3279.9999999999995</v>
      </c>
      <c r="E11" s="15">
        <f t="shared" si="0"/>
        <v>16400</v>
      </c>
    </row>
    <row r="12" spans="1:11" x14ac:dyDescent="0.25">
      <c r="A12" s="1" t="s">
        <v>36</v>
      </c>
      <c r="B12" s="17">
        <v>4000</v>
      </c>
      <c r="C12" s="15">
        <v>4.2</v>
      </c>
      <c r="D12" s="15">
        <f t="shared" si="1"/>
        <v>3360</v>
      </c>
      <c r="E12" s="15">
        <f t="shared" si="0"/>
        <v>16800</v>
      </c>
    </row>
    <row r="13" spans="1:11" x14ac:dyDescent="0.25">
      <c r="A13" s="1" t="s">
        <v>37</v>
      </c>
      <c r="B13" s="17">
        <v>4000</v>
      </c>
      <c r="C13" s="15">
        <v>4.25</v>
      </c>
      <c r="D13" s="15">
        <f>(B13/5)*C13</f>
        <v>3400</v>
      </c>
      <c r="E13" s="15">
        <f t="shared" si="0"/>
        <v>17000</v>
      </c>
    </row>
    <row r="14" spans="1:11" x14ac:dyDescent="0.25">
      <c r="A14" s="13" t="s">
        <v>24</v>
      </c>
      <c r="B14" s="1"/>
      <c r="C14" s="1"/>
      <c r="D14" s="15"/>
      <c r="E14" s="16">
        <f>SUM(E2:E13)</f>
        <v>195000</v>
      </c>
    </row>
    <row r="22" spans="1:4" ht="51" customHeight="1" x14ac:dyDescent="0.25">
      <c r="A22" s="14"/>
      <c r="B22" s="14"/>
      <c r="C22" s="14"/>
      <c r="D2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Zadanie 1</vt:lpstr>
      <vt:lpstr>Zadanie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 Szychowski</dc:creator>
  <cp:lastModifiedBy>Wiktor Szychowski</cp:lastModifiedBy>
  <dcterms:created xsi:type="dcterms:W3CDTF">2024-06-21T14:54:01Z</dcterms:created>
  <dcterms:modified xsi:type="dcterms:W3CDTF">2024-06-26T21:24:31Z</dcterms:modified>
</cp:coreProperties>
</file>