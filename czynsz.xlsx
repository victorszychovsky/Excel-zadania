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13_ncr:1_{C9CF59B8-572C-4BBD-98CC-B8A4E3B1AAF8}" xr6:coauthVersionLast="47" xr6:coauthVersionMax="47" xr10:uidLastSave="{00000000-0000-0000-0000-000000000000}"/>
  <bookViews>
    <workbookView xWindow="-108" yWindow="-108" windowWidth="23256" windowHeight="12456" tabRatio="819" xr2:uid="{00000000-000D-0000-FFFF-FFFF00000000}"/>
  </bookViews>
  <sheets>
    <sheet name="Arkusz 1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2" i="23" l="1"/>
  <c r="I11" i="23"/>
  <c r="I12" i="23"/>
  <c r="I13" i="23"/>
  <c r="I14" i="23"/>
  <c r="I15" i="23"/>
  <c r="I16" i="23"/>
  <c r="I17" i="23"/>
  <c r="I18" i="23"/>
  <c r="I19" i="23"/>
  <c r="I20" i="23"/>
  <c r="I10" i="23"/>
  <c r="G11" i="23"/>
  <c r="G12" i="23"/>
  <c r="G13" i="23"/>
  <c r="G14" i="23"/>
  <c r="G15" i="23"/>
  <c r="G16" i="23"/>
  <c r="G17" i="23"/>
  <c r="G18" i="23"/>
  <c r="G19" i="23"/>
  <c r="G20" i="23"/>
  <c r="G10" i="23"/>
  <c r="C22" i="23"/>
  <c r="E22" i="23"/>
  <c r="D22" i="23"/>
  <c r="H11" i="23"/>
  <c r="H12" i="23"/>
  <c r="H13" i="23"/>
  <c r="H14" i="23"/>
  <c r="H15" i="23"/>
  <c r="H16" i="23"/>
  <c r="H17" i="23"/>
  <c r="H18" i="23"/>
  <c r="H19" i="23"/>
  <c r="H20" i="23"/>
  <c r="H10" i="23"/>
  <c r="F11" i="23"/>
  <c r="F12" i="23"/>
  <c r="F13" i="23"/>
  <c r="F14" i="23"/>
  <c r="F15" i="23"/>
  <c r="F16" i="23"/>
  <c r="F17" i="23"/>
  <c r="F18" i="23"/>
  <c r="F19" i="23"/>
  <c r="F20" i="23"/>
  <c r="F10" i="23"/>
  <c r="J20" i="23" l="1"/>
  <c r="J19" i="23"/>
  <c r="J18" i="23"/>
  <c r="J17" i="23"/>
  <c r="J15" i="23"/>
  <c r="J16" i="23"/>
  <c r="J10" i="23"/>
  <c r="J14" i="23"/>
  <c r="J13" i="23"/>
  <c r="J12" i="23"/>
  <c r="J11" i="23"/>
</calcChain>
</file>

<file path=xl/sharedStrings.xml><?xml version="1.0" encoding="utf-8"?>
<sst xmlns="http://schemas.openxmlformats.org/spreadsheetml/2006/main" count="32" uniqueCount="30">
  <si>
    <t>nazwisko</t>
  </si>
  <si>
    <t>piętro</t>
  </si>
  <si>
    <t>Anders</t>
  </si>
  <si>
    <t>Andersen</t>
  </si>
  <si>
    <t>Augustyniak</t>
  </si>
  <si>
    <t>Bat</t>
  </si>
  <si>
    <t>Bender</t>
  </si>
  <si>
    <t>Berg</t>
  </si>
  <si>
    <t>Bertrand</t>
  </si>
  <si>
    <t>Bielecka</t>
  </si>
  <si>
    <t>Bien</t>
  </si>
  <si>
    <t>Bochenek</t>
  </si>
  <si>
    <t>Boniecki</t>
  </si>
  <si>
    <t>eksploatacja</t>
  </si>
  <si>
    <t>winda</t>
  </si>
  <si>
    <t>stawki:</t>
  </si>
  <si>
    <t>za osobę</t>
  </si>
  <si>
    <t>od 2 piętra</t>
  </si>
  <si>
    <t>RAZEM</t>
  </si>
  <si>
    <t>RAZEM:</t>
  </si>
  <si>
    <t>suma kontrolna:</t>
  </si>
  <si>
    <t>od 7 piętra 80%</t>
  </si>
  <si>
    <t>B10:</t>
  </si>
  <si>
    <t>B8:</t>
  </si>
  <si>
    <t>E4:</t>
  </si>
  <si>
    <r>
      <t>za m</t>
    </r>
    <r>
      <rPr>
        <sz val="10"/>
        <rFont val="Arial CE"/>
        <charset val="238"/>
      </rPr>
      <t>2</t>
    </r>
  </si>
  <si>
    <t>powierzchnia mieszkania</t>
  </si>
  <si>
    <t>liczba osób</t>
  </si>
  <si>
    <t>centralne ogrzewanie</t>
  </si>
  <si>
    <t>ciepła woda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</si>
</sst>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zł&quot;_-;\-* #,##0.00\ &quot;zł&quot;_-;_-* &quot;-&quot;??\ &quot;zł&quot;_-;_-@_-"/>
    <numFmt numFmtId="165" formatCode="#,##0.00_ ;\-#,##0.00\ "/>
  </numFmts>
  <fonts count="7" x14ac:knownFonts="1">
    <font>
      <sz val="10"/>
      <name val="Arial CE"/>
      <charset val="238"/>
    </font>
    <font>
      <sz val="10"/>
      <name val="Arial CE"/>
      <charset val="238"/>
    </font>
    <font>
      <b/>
      <sz val="10"/>
      <name val="Arial CE"/>
      <family val="2"/>
      <charset val="238"/>
    </font>
    <font>
      <sz val="10"/>
      <color indexed="23"/>
      <name val="Arial CE"/>
      <family val="2"/>
      <charset val="238"/>
    </font>
    <font>
      <sz val="8"/>
      <name val="Arial CE"/>
      <charset val="238"/>
    </font>
    <font>
      <b/>
      <sz val="8"/>
      <color indexed="9"/>
      <name val="Arial CE"/>
      <charset val="238"/>
    </font>
    <font>
      <sz val="10"/>
      <color indexed="23"/>
      <name val="Arial CE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164" fontId="2" fillId="2" borderId="0" xfId="1" applyFont="1" applyFill="1"/>
    <xf numFmtId="0" fontId="2" fillId="0" borderId="0" xfId="0" applyFont="1" applyAlignment="1">
      <alignment horizontal="right"/>
    </xf>
    <xf numFmtId="164" fontId="3" fillId="4" borderId="0" xfId="1" applyFont="1" applyFill="1"/>
    <xf numFmtId="164" fontId="2" fillId="3" borderId="0" xfId="0" applyNumberFormat="1" applyFont="1" applyFill="1"/>
    <xf numFmtId="0" fontId="2" fillId="4" borderId="0" xfId="0" applyNumberFormat="1" applyFont="1" applyFill="1"/>
    <xf numFmtId="0" fontId="4" fillId="0" borderId="0" xfId="0" applyFont="1" applyAlignment="1">
      <alignment horizontal="right"/>
    </xf>
    <xf numFmtId="0" fontId="5" fillId="5" borderId="0" xfId="0" applyFont="1" applyFill="1" applyAlignment="1">
      <alignment horizontal="center"/>
    </xf>
    <xf numFmtId="0" fontId="6" fillId="0" borderId="0" xfId="0" applyFont="1" applyAlignment="1">
      <alignment horizontal="right"/>
    </xf>
    <xf numFmtId="0" fontId="0" fillId="2" borderId="0" xfId="0" applyFont="1" applyFill="1"/>
    <xf numFmtId="0" fontId="0" fillId="0" borderId="0" xfId="0" applyFont="1" applyAlignment="1">
      <alignment horizontal="center"/>
    </xf>
    <xf numFmtId="165" fontId="3" fillId="4" borderId="0" xfId="1" quotePrefix="1" applyNumberFormat="1" applyFont="1" applyFill="1"/>
    <xf numFmtId="2" fontId="0" fillId="2" borderId="0" xfId="0" applyNumberFormat="1" applyFont="1" applyFill="1"/>
    <xf numFmtId="2" fontId="0" fillId="2" borderId="0" xfId="1" applyNumberFormat="1" applyFont="1" applyFill="1"/>
    <xf numFmtId="2" fontId="2" fillId="4" borderId="0" xfId="0" applyNumberFormat="1" applyFont="1" applyFill="1"/>
    <xf numFmtId="0" fontId="2" fillId="3" borderId="0" xfId="0" applyNumberFormat="1" applyFont="1" applyFill="1"/>
  </cellXfs>
  <cellStyles count="2">
    <cellStyle name="Normalny" xfId="0" builtinId="0"/>
    <cellStyle name="Walutowy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22"/>
  <sheetViews>
    <sheetView tabSelected="1" topLeftCell="A4" zoomScale="130" zoomScaleNormal="130" workbookViewId="0">
      <selection activeCell="F22" sqref="F22"/>
    </sheetView>
  </sheetViews>
  <sheetFormatPr defaultRowHeight="13.2" x14ac:dyDescent="0.25"/>
  <cols>
    <col min="2" max="2" width="11.33203125" bestFit="1" customWidth="1"/>
    <col min="3" max="3" width="9.77734375" bestFit="1" customWidth="1"/>
    <col min="4" max="4" width="11.6640625" customWidth="1"/>
    <col min="6" max="9" width="12.6640625" customWidth="1"/>
    <col min="10" max="10" width="11.33203125" bestFit="1" customWidth="1"/>
  </cols>
  <sheetData>
    <row r="4" spans="1:10" x14ac:dyDescent="0.25">
      <c r="D4" s="11" t="s">
        <v>24</v>
      </c>
      <c r="E4" s="3" t="s">
        <v>15</v>
      </c>
      <c r="F4" s="4">
        <v>2.5</v>
      </c>
      <c r="G4" s="4">
        <v>3.25</v>
      </c>
      <c r="H4" s="4">
        <v>12.5</v>
      </c>
      <c r="I4" s="4">
        <v>20</v>
      </c>
    </row>
    <row r="5" spans="1:10" x14ac:dyDescent="0.25">
      <c r="E5" s="1"/>
      <c r="F5" s="13" t="s">
        <v>25</v>
      </c>
      <c r="G5" s="13" t="s">
        <v>25</v>
      </c>
      <c r="H5" s="1" t="s">
        <v>16</v>
      </c>
      <c r="I5" s="1" t="s">
        <v>16</v>
      </c>
    </row>
    <row r="6" spans="1:10" s="1" customFormat="1" x14ac:dyDescent="0.25">
      <c r="F6" s="5"/>
      <c r="G6" s="10" t="s">
        <v>21</v>
      </c>
      <c r="I6" s="10" t="s">
        <v>17</v>
      </c>
    </row>
    <row r="7" spans="1:10" s="1" customFormat="1" x14ac:dyDescent="0.25"/>
    <row r="8" spans="1:10" s="1" customFormat="1" ht="26.4" x14ac:dyDescent="0.25">
      <c r="A8" s="11" t="s">
        <v>23</v>
      </c>
      <c r="B8" s="1" t="s">
        <v>0</v>
      </c>
      <c r="C8" s="1" t="s">
        <v>1</v>
      </c>
      <c r="D8" s="2" t="s">
        <v>26</v>
      </c>
      <c r="E8" s="2" t="s">
        <v>27</v>
      </c>
      <c r="F8" s="2" t="s">
        <v>28</v>
      </c>
      <c r="G8" s="1" t="s">
        <v>13</v>
      </c>
      <c r="H8" s="2" t="s">
        <v>29</v>
      </c>
      <c r="I8" s="1" t="s">
        <v>14</v>
      </c>
      <c r="J8" s="1" t="s">
        <v>18</v>
      </c>
    </row>
    <row r="10" spans="1:10" x14ac:dyDescent="0.25">
      <c r="A10" s="11" t="s">
        <v>22</v>
      </c>
      <c r="B10" t="s">
        <v>2</v>
      </c>
      <c r="C10" s="12">
        <v>7</v>
      </c>
      <c r="D10" s="15">
        <v>40</v>
      </c>
      <c r="E10" s="12">
        <v>2</v>
      </c>
      <c r="F10" s="7">
        <f>$F$4*D10</f>
        <v>100</v>
      </c>
      <c r="G10" s="14">
        <f>IF(C10&gt;=7,D10*$G$4*0.8,D10*$G$4)</f>
        <v>104</v>
      </c>
      <c r="H10" s="7">
        <f>E10*$H$4</f>
        <v>25</v>
      </c>
      <c r="I10" s="6">
        <f>IF(C10&gt;=2,E10*$I$4,0)</f>
        <v>40</v>
      </c>
      <c r="J10" s="7">
        <f>SUM(F10:I10)</f>
        <v>269</v>
      </c>
    </row>
    <row r="11" spans="1:10" x14ac:dyDescent="0.25">
      <c r="B11" t="s">
        <v>3</v>
      </c>
      <c r="C11" s="12">
        <v>1</v>
      </c>
      <c r="D11" s="15">
        <v>40</v>
      </c>
      <c r="E11" s="12">
        <v>2</v>
      </c>
      <c r="F11" s="7">
        <f t="shared" ref="F11:F20" si="0">$F$4*D11</f>
        <v>100</v>
      </c>
      <c r="G11" s="14">
        <f t="shared" ref="G11:G20" si="1">IF(C11&gt;=7,D11*$G$4*0.8,D11*$G$4)</f>
        <v>130</v>
      </c>
      <c r="H11" s="7">
        <f t="shared" ref="H11:H20" si="2">E11*$H$4</f>
        <v>25</v>
      </c>
      <c r="I11" s="6">
        <f t="shared" ref="I11:I20" si="3">IF(C11&gt;=2,E11*$I$4,0)</f>
        <v>0</v>
      </c>
      <c r="J11" s="7">
        <f t="shared" ref="J11:J20" si="4">SUM(F11:I11)</f>
        <v>255</v>
      </c>
    </row>
    <row r="12" spans="1:10" x14ac:dyDescent="0.25">
      <c r="B12" t="s">
        <v>4</v>
      </c>
      <c r="C12" s="12">
        <v>6</v>
      </c>
      <c r="D12" s="15">
        <v>30</v>
      </c>
      <c r="E12" s="12">
        <v>5</v>
      </c>
      <c r="F12" s="7">
        <f t="shared" si="0"/>
        <v>75</v>
      </c>
      <c r="G12" s="14">
        <f t="shared" si="1"/>
        <v>97.5</v>
      </c>
      <c r="H12" s="7">
        <f t="shared" si="2"/>
        <v>62.5</v>
      </c>
      <c r="I12" s="6">
        <f t="shared" si="3"/>
        <v>100</v>
      </c>
      <c r="J12" s="7">
        <f t="shared" si="4"/>
        <v>335</v>
      </c>
    </row>
    <row r="13" spans="1:10" x14ac:dyDescent="0.25">
      <c r="B13" t="s">
        <v>5</v>
      </c>
      <c r="C13" s="12">
        <v>6</v>
      </c>
      <c r="D13" s="15">
        <v>75</v>
      </c>
      <c r="E13" s="12">
        <v>3</v>
      </c>
      <c r="F13" s="7">
        <f t="shared" si="0"/>
        <v>187.5</v>
      </c>
      <c r="G13" s="14">
        <f t="shared" si="1"/>
        <v>243.75</v>
      </c>
      <c r="H13" s="7">
        <f t="shared" si="2"/>
        <v>37.5</v>
      </c>
      <c r="I13" s="6">
        <f t="shared" si="3"/>
        <v>60</v>
      </c>
      <c r="J13" s="7">
        <f t="shared" si="4"/>
        <v>528.75</v>
      </c>
    </row>
    <row r="14" spans="1:10" x14ac:dyDescent="0.25">
      <c r="B14" t="s">
        <v>6</v>
      </c>
      <c r="C14" s="12">
        <v>7</v>
      </c>
      <c r="D14" s="15">
        <v>25</v>
      </c>
      <c r="E14" s="12">
        <v>5</v>
      </c>
      <c r="F14" s="7">
        <f t="shared" si="0"/>
        <v>62.5</v>
      </c>
      <c r="G14" s="14">
        <f t="shared" si="1"/>
        <v>65</v>
      </c>
      <c r="H14" s="7">
        <f t="shared" si="2"/>
        <v>62.5</v>
      </c>
      <c r="I14" s="6">
        <f t="shared" si="3"/>
        <v>100</v>
      </c>
      <c r="J14" s="7">
        <f t="shared" si="4"/>
        <v>290</v>
      </c>
    </row>
    <row r="15" spans="1:10" x14ac:dyDescent="0.25">
      <c r="B15" t="s">
        <v>7</v>
      </c>
      <c r="C15" s="12">
        <v>0</v>
      </c>
      <c r="D15" s="16">
        <v>24</v>
      </c>
      <c r="E15" s="12">
        <v>4</v>
      </c>
      <c r="F15" s="7">
        <f t="shared" si="0"/>
        <v>60</v>
      </c>
      <c r="G15" s="14">
        <f t="shared" si="1"/>
        <v>78</v>
      </c>
      <c r="H15" s="7">
        <f t="shared" si="2"/>
        <v>50</v>
      </c>
      <c r="I15" s="6">
        <f t="shared" si="3"/>
        <v>0</v>
      </c>
      <c r="J15" s="7">
        <f t="shared" si="4"/>
        <v>188</v>
      </c>
    </row>
    <row r="16" spans="1:10" x14ac:dyDescent="0.25">
      <c r="B16" t="s">
        <v>8</v>
      </c>
      <c r="C16" s="12">
        <v>0</v>
      </c>
      <c r="D16" s="15">
        <v>18</v>
      </c>
      <c r="E16" s="12">
        <v>5</v>
      </c>
      <c r="F16" s="7">
        <f t="shared" si="0"/>
        <v>45</v>
      </c>
      <c r="G16" s="14">
        <f t="shared" si="1"/>
        <v>58.5</v>
      </c>
      <c r="H16" s="7">
        <f t="shared" si="2"/>
        <v>62.5</v>
      </c>
      <c r="I16" s="6">
        <f t="shared" si="3"/>
        <v>0</v>
      </c>
      <c r="J16" s="7">
        <f t="shared" si="4"/>
        <v>166</v>
      </c>
    </row>
    <row r="17" spans="2:10" x14ac:dyDescent="0.25">
      <c r="B17" t="s">
        <v>9</v>
      </c>
      <c r="C17" s="12">
        <v>8</v>
      </c>
      <c r="D17" s="15">
        <v>39</v>
      </c>
      <c r="E17" s="12">
        <v>2</v>
      </c>
      <c r="F17" s="7">
        <f t="shared" si="0"/>
        <v>97.5</v>
      </c>
      <c r="G17" s="14">
        <f t="shared" si="1"/>
        <v>101.4</v>
      </c>
      <c r="H17" s="7">
        <f t="shared" si="2"/>
        <v>25</v>
      </c>
      <c r="I17" s="6">
        <f t="shared" si="3"/>
        <v>40</v>
      </c>
      <c r="J17" s="7">
        <f t="shared" si="4"/>
        <v>263.89999999999998</v>
      </c>
    </row>
    <row r="18" spans="2:10" x14ac:dyDescent="0.25">
      <c r="B18" t="s">
        <v>10</v>
      </c>
      <c r="C18" s="12">
        <v>2</v>
      </c>
      <c r="D18" s="15">
        <v>63</v>
      </c>
      <c r="E18" s="12">
        <v>3</v>
      </c>
      <c r="F18" s="7">
        <f t="shared" si="0"/>
        <v>157.5</v>
      </c>
      <c r="G18" s="14">
        <f t="shared" si="1"/>
        <v>204.75</v>
      </c>
      <c r="H18" s="7">
        <f t="shared" si="2"/>
        <v>37.5</v>
      </c>
      <c r="I18" s="6">
        <f t="shared" si="3"/>
        <v>60</v>
      </c>
      <c r="J18" s="7">
        <f t="shared" si="4"/>
        <v>459.75</v>
      </c>
    </row>
    <row r="19" spans="2:10" x14ac:dyDescent="0.25">
      <c r="B19" t="s">
        <v>11</v>
      </c>
      <c r="C19" s="12">
        <v>3</v>
      </c>
      <c r="D19" s="15">
        <v>63</v>
      </c>
      <c r="E19" s="12">
        <v>3</v>
      </c>
      <c r="F19" s="7">
        <f t="shared" si="0"/>
        <v>157.5</v>
      </c>
      <c r="G19" s="14">
        <f t="shared" si="1"/>
        <v>204.75</v>
      </c>
      <c r="H19" s="7">
        <f t="shared" si="2"/>
        <v>37.5</v>
      </c>
      <c r="I19" s="6">
        <f t="shared" si="3"/>
        <v>60</v>
      </c>
      <c r="J19" s="7">
        <f t="shared" si="4"/>
        <v>459.75</v>
      </c>
    </row>
    <row r="20" spans="2:10" x14ac:dyDescent="0.25">
      <c r="B20" t="s">
        <v>12</v>
      </c>
      <c r="C20" s="12">
        <v>5</v>
      </c>
      <c r="D20" s="15">
        <v>30</v>
      </c>
      <c r="E20" s="12">
        <v>5</v>
      </c>
      <c r="F20" s="7">
        <f t="shared" si="0"/>
        <v>75</v>
      </c>
      <c r="G20" s="14">
        <f t="shared" si="1"/>
        <v>97.5</v>
      </c>
      <c r="H20" s="7">
        <f t="shared" si="2"/>
        <v>62.5</v>
      </c>
      <c r="I20" s="6">
        <f t="shared" si="3"/>
        <v>100</v>
      </c>
      <c r="J20" s="7">
        <f t="shared" si="4"/>
        <v>335</v>
      </c>
    </row>
    <row r="22" spans="2:10" x14ac:dyDescent="0.25">
      <c r="B22" s="9" t="s">
        <v>20</v>
      </c>
      <c r="C22" s="18">
        <f>COUNT(C10:C20)</f>
        <v>11</v>
      </c>
      <c r="D22" s="17">
        <f>SUM(D10:D20)</f>
        <v>447</v>
      </c>
      <c r="E22" s="8">
        <f>SUM(E10:E20)</f>
        <v>39</v>
      </c>
      <c r="I22" s="5" t="s">
        <v>19</v>
      </c>
      <c r="J22" s="7">
        <f>SUM(J10:J20)</f>
        <v>3550.15</v>
      </c>
    </row>
  </sheetData>
  <pageMargins left="0.75" right="0.75" top="1" bottom="1" header="0.5" footer="0.5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 1</vt:lpstr>
    </vt:vector>
  </TitlesOfParts>
  <Company>WSB we Wrocławiu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Belfer29a</dc:creator>
  <cp:lastModifiedBy>Wiktor Szychowski</cp:lastModifiedBy>
  <cp:lastPrinted>2009-09-12T15:21:32Z</cp:lastPrinted>
  <dcterms:created xsi:type="dcterms:W3CDTF">2006-11-29T08:08:40Z</dcterms:created>
  <dcterms:modified xsi:type="dcterms:W3CDTF">2026-03-01T20:06:02Z</dcterms:modified>
</cp:coreProperties>
</file>