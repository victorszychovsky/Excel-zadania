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C6C83AE9-D385-49C1-A870-689CE35A9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7" i="1"/>
  <c r="G8" i="1"/>
  <c r="E3" i="1"/>
  <c r="E4" i="1"/>
  <c r="E5" i="1"/>
  <c r="E6" i="1"/>
  <c r="F6" i="1" s="1"/>
  <c r="E7" i="1"/>
  <c r="F7" i="1" s="1"/>
  <c r="E8" i="1"/>
  <c r="F8" i="1" s="1"/>
  <c r="E9" i="1"/>
  <c r="F9" i="1" s="1"/>
  <c r="E2" i="1"/>
  <c r="F5" i="1" l="1"/>
  <c r="G5" i="1" s="1"/>
  <c r="H5" i="1" s="1"/>
  <c r="E11" i="1"/>
  <c r="F4" i="1"/>
  <c r="H4" i="1" s="1"/>
  <c r="F3" i="1"/>
  <c r="H3" i="1" s="1"/>
  <c r="H8" i="1"/>
  <c r="H7" i="1"/>
  <c r="G9" i="1"/>
  <c r="H9" i="1" s="1"/>
  <c r="F2" i="1"/>
  <c r="G6" i="1"/>
  <c r="H6" i="1" s="1"/>
  <c r="G2" i="1" l="1"/>
  <c r="H2" i="1" s="1"/>
  <c r="H11" i="1" s="1"/>
</calcChain>
</file>

<file path=xl/sharedStrings.xml><?xml version="1.0" encoding="utf-8"?>
<sst xmlns="http://schemas.openxmlformats.org/spreadsheetml/2006/main" count="17" uniqueCount="17">
  <si>
    <t>nazwisko</t>
  </si>
  <si>
    <t>wartość
samochodu</t>
  </si>
  <si>
    <t>liczba
zabezpieczeń</t>
  </si>
  <si>
    <t>wiek
auta</t>
  </si>
  <si>
    <t>składka
podstawowa</t>
  </si>
  <si>
    <t>zniżka za
zabezpieczenia</t>
  </si>
  <si>
    <t>zwyżka za
wiek auta</t>
  </si>
  <si>
    <t>do
zapłaty</t>
  </si>
  <si>
    <t>Kowalski</t>
  </si>
  <si>
    <t>Jaworska</t>
  </si>
  <si>
    <t>Nowak</t>
  </si>
  <si>
    <t>Perłowski</t>
  </si>
  <si>
    <t>Zieliński</t>
  </si>
  <si>
    <t>Kamińska</t>
  </si>
  <si>
    <t>Kus</t>
  </si>
  <si>
    <t>Mokrzycki</t>
  </si>
  <si>
    <t>razem: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</si>
</sst>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zł&quot;_-;\-* #,##0.00\ &quot;zł&quot;_-;_-* &quot;-&quot;??\ &quot;zł&quot;_-;_-@_-"/>
  </numFmts>
  <fonts count="2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2" borderId="1" xfId="0" applyFont="1" applyFill="1" applyBorder="1"/>
    <xf numFmtId="0" fontId="0" fillId="2" borderId="1" xfId="1" applyNumberFormat="1" applyFont="1" applyFill="1" applyBorder="1"/>
    <xf numFmtId="164" fontId="0" fillId="0" borderId="1" xfId="0" applyNumberFormat="1" applyFill="1" applyBorder="1"/>
    <xf numFmtId="164" fontId="0" fillId="0" borderId="1" xfId="1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164" fontId="0" fillId="0" borderId="1" xfId="0" applyNumberFormat="1" applyBorder="1"/>
  </cellXfs>
  <cellStyles count="2">
    <cellStyle name="Normalny" xfId="0" builtinId="0"/>
    <cellStyle name="Walutowy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5" sqref="C15"/>
    </sheetView>
  </sheetViews>
  <sheetFormatPr defaultRowHeight="13.8"/>
  <cols>
    <col min="2" max="2" width="9.5" customWidth="1"/>
    <col min="3" max="3" width="12.69921875" customWidth="1"/>
    <col min="4" max="5" width="12" customWidth="1"/>
    <col min="6" max="6" width="13.69921875" customWidth="1"/>
    <col min="7" max="7" width="14.59765625" customWidth="1"/>
    <col min="8" max="8" width="11.59765625" customWidth="1"/>
    <col min="9" max="9" width="13.09765625" customWidth="1"/>
  </cols>
  <sheetData>
    <row r="1" spans="1:8" s="1" customFormat="1" ht="41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5" t="s">
        <v>8</v>
      </c>
      <c r="B2" s="6">
        <v>25000</v>
      </c>
      <c r="C2" s="5">
        <v>1</v>
      </c>
      <c r="D2" s="5">
        <v>9</v>
      </c>
      <c r="E2" s="7">
        <f>B2*7.55%</f>
        <v>1887.5</v>
      </c>
      <c r="F2" s="7">
        <f>E2*0.05</f>
        <v>94.375</v>
      </c>
      <c r="G2" s="8">
        <f>IF(D2&gt;6,(E2-F2) * (D2-6) * 3.5%,0)</f>
        <v>188.27812500000002</v>
      </c>
      <c r="H2" s="7">
        <f>E2-F2+G2</f>
        <v>1981.403125</v>
      </c>
    </row>
    <row r="3" spans="1:8">
      <c r="A3" s="5" t="s">
        <v>9</v>
      </c>
      <c r="B3" s="6">
        <v>25000</v>
      </c>
      <c r="C3" s="5">
        <v>2</v>
      </c>
      <c r="D3" s="5">
        <v>6</v>
      </c>
      <c r="E3" s="7">
        <f t="shared" ref="E3:E9" si="0">B3*7.55%</f>
        <v>1887.5</v>
      </c>
      <c r="F3" s="7">
        <f t="shared" ref="F3:F9" si="1">E3*0.05</f>
        <v>94.375</v>
      </c>
      <c r="G3" s="8">
        <f t="shared" ref="G3:G9" si="2">IF(D3&gt;6,(E3-F3) * (D3-6) * 3.5%,0)</f>
        <v>0</v>
      </c>
      <c r="H3" s="7">
        <f t="shared" ref="H3:H9" si="3">E3-F3+G3</f>
        <v>1793.125</v>
      </c>
    </row>
    <row r="4" spans="1:8">
      <c r="A4" s="5" t="s">
        <v>10</v>
      </c>
      <c r="B4" s="6">
        <v>49500</v>
      </c>
      <c r="C4" s="5">
        <v>3</v>
      </c>
      <c r="D4" s="5">
        <v>4</v>
      </c>
      <c r="E4" s="7">
        <f t="shared" si="0"/>
        <v>3737.25</v>
      </c>
      <c r="F4" s="7">
        <f t="shared" si="1"/>
        <v>186.86250000000001</v>
      </c>
      <c r="G4" s="8">
        <f t="shared" si="2"/>
        <v>0</v>
      </c>
      <c r="H4" s="7">
        <f t="shared" si="3"/>
        <v>3550.3874999999998</v>
      </c>
    </row>
    <row r="5" spans="1:8">
      <c r="A5" s="5" t="s">
        <v>11</v>
      </c>
      <c r="B5" s="6">
        <v>12000</v>
      </c>
      <c r="C5" s="5">
        <v>1</v>
      </c>
      <c r="D5" s="5">
        <v>11</v>
      </c>
      <c r="E5" s="7">
        <f t="shared" si="0"/>
        <v>906</v>
      </c>
      <c r="F5" s="7">
        <f t="shared" si="1"/>
        <v>45.300000000000004</v>
      </c>
      <c r="G5" s="8">
        <f t="shared" si="2"/>
        <v>150.6225</v>
      </c>
      <c r="H5" s="7">
        <f t="shared" si="3"/>
        <v>1011.3225</v>
      </c>
    </row>
    <row r="6" spans="1:8">
      <c r="A6" s="5" t="s">
        <v>12</v>
      </c>
      <c r="B6" s="6">
        <v>55000</v>
      </c>
      <c r="C6" s="5">
        <v>3</v>
      </c>
      <c r="D6" s="5">
        <v>9</v>
      </c>
      <c r="E6" s="7">
        <f t="shared" si="0"/>
        <v>4152.5</v>
      </c>
      <c r="F6" s="7">
        <f t="shared" si="1"/>
        <v>207.625</v>
      </c>
      <c r="G6" s="8">
        <f t="shared" si="2"/>
        <v>414.21187500000002</v>
      </c>
      <c r="H6" s="7">
        <f t="shared" si="3"/>
        <v>4359.086875</v>
      </c>
    </row>
    <row r="7" spans="1:8">
      <c r="A7" s="5" t="s">
        <v>13</v>
      </c>
      <c r="B7" s="6">
        <v>32400</v>
      </c>
      <c r="C7" s="5">
        <v>2</v>
      </c>
      <c r="D7" s="5">
        <v>6</v>
      </c>
      <c r="E7" s="7">
        <f t="shared" si="0"/>
        <v>2446.1999999999998</v>
      </c>
      <c r="F7" s="7">
        <f t="shared" si="1"/>
        <v>122.31</v>
      </c>
      <c r="G7" s="8">
        <f t="shared" si="2"/>
        <v>0</v>
      </c>
      <c r="H7" s="7">
        <f t="shared" si="3"/>
        <v>2323.89</v>
      </c>
    </row>
    <row r="8" spans="1:8">
      <c r="A8" s="5" t="s">
        <v>14</v>
      </c>
      <c r="B8" s="6">
        <v>27900</v>
      </c>
      <c r="C8" s="5">
        <v>1</v>
      </c>
      <c r="D8" s="5">
        <v>5</v>
      </c>
      <c r="E8" s="7">
        <f t="shared" si="0"/>
        <v>2106.4499999999998</v>
      </c>
      <c r="F8" s="7">
        <f t="shared" si="1"/>
        <v>105.32249999999999</v>
      </c>
      <c r="G8" s="8">
        <f t="shared" si="2"/>
        <v>0</v>
      </c>
      <c r="H8" s="7">
        <f t="shared" si="3"/>
        <v>2001.1274999999998</v>
      </c>
    </row>
    <row r="9" spans="1:8">
      <c r="A9" s="5" t="s">
        <v>15</v>
      </c>
      <c r="B9" s="6">
        <v>18700</v>
      </c>
      <c r="C9" s="5">
        <v>0</v>
      </c>
      <c r="D9" s="5">
        <v>8</v>
      </c>
      <c r="E9" s="7">
        <f t="shared" si="0"/>
        <v>1411.85</v>
      </c>
      <c r="F9" s="7">
        <f t="shared" si="1"/>
        <v>70.592500000000001</v>
      </c>
      <c r="G9" s="8">
        <f t="shared" si="2"/>
        <v>93.888024999999999</v>
      </c>
      <c r="H9" s="7">
        <f t="shared" si="3"/>
        <v>1435.1455249999999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8"/>
      <c r="C11" s="9"/>
      <c r="D11" s="10" t="s">
        <v>16</v>
      </c>
      <c r="E11" s="11">
        <f>SUM(E2:E9)</f>
        <v>18535.25</v>
      </c>
      <c r="F11" s="9"/>
      <c r="G11" s="9"/>
      <c r="H11" s="7">
        <f>SUM(H2:H9)</f>
        <v>18455.488024999999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belfer29b</dc:creator>
  <cp:lastModifiedBy>Wiktor Szychowski</cp:lastModifiedBy>
  <dcterms:created xsi:type="dcterms:W3CDTF">2010-04-15T08:42:02Z</dcterms:created>
  <dcterms:modified xsi:type="dcterms:W3CDTF">2026-03-01T20:27:17Z</dcterms:modified>
</cp:coreProperties>
</file>